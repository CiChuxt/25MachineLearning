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<sst xmlns="http://schemas.openxmlformats.org/spreadsheetml/2006/main" count="46" uniqueCount="40">
  <si>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年份</t>
  </si>
  <si>
    <t>地区生产总值(Y)</t>
  </si>
  <si>
    <t>人口总数(X1)</t>
  </si>
  <si>
    <t>第三产业(X2)</t>
  </si>
  <si>
    <t>平均每人可支配收入(X3)</t>
  </si>
  <si>
    <t>固定资产投资额(X4)</t>
  </si>
  <si>
    <t>进出口总额(X5)</t>
  </si>
  <si>
    <t>地方一般公共预算收入(X6)</t>
  </si>
  <si>
    <t>地方一般公共预算支出(X7)</t>
  </si>
  <si>
    <t>工业企业单位数(X8)</t>
  </si>
  <si>
    <t>社会消费品零售总额(X9)</t>
  </si>
  <si>
    <t>卫生人员数(X10)</t>
  </si>
  <si>
    <r>
      <rPr>
        <sz val="8"/>
        <color theme="1"/>
        <rFont val="等线"/>
        <charset val="134"/>
      </rPr>
      <t>普通高等学校毕业生人数</t>
    </r>
    <r>
      <rPr>
        <sz val="8"/>
        <color theme="1"/>
        <rFont val="Times New Roman"/>
        <charset val="134"/>
      </rPr>
      <t>(X11)</t>
    </r>
  </si>
  <si>
    <t>（年）</t>
  </si>
  <si>
    <t>（亿元）</t>
  </si>
  <si>
    <t>（万人）</t>
  </si>
  <si>
    <t>（元）</t>
  </si>
  <si>
    <t>（万美元）</t>
  </si>
  <si>
    <t>（个）</t>
  </si>
  <si>
    <r>
      <rPr>
        <sz val="8"/>
        <color theme="1"/>
        <rFont val="等线"/>
        <charset val="134"/>
      </rPr>
      <t>（人）</t>
    </r>
  </si>
  <si>
    <t>2015</t>
  </si>
  <si>
    <t>2016</t>
  </si>
  <si>
    <t>2017</t>
  </si>
  <si>
    <t>2018</t>
  </si>
  <si>
    <t>2019</t>
  </si>
  <si>
    <t>2020</t>
  </si>
  <si>
    <t>2021</t>
  </si>
  <si>
    <t>date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</si>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</sst>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_);[Red]\(0.00\)"/>
    <numFmt numFmtId="178" formatCode="0.0"/>
    <numFmt numFmtId="179" formatCode="0_ "/>
    <numFmt numFmtId="180" formatCode="0.00_ "/>
    <numFmt numFmtId="181" formatCode="0_);[Red]\(0\)"/>
  </numFmts>
  <fonts count="42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8"/>
      <color theme="1"/>
      <name val="等线"/>
      <charset val="134"/>
    </font>
    <font>
      <sz val="8"/>
      <color theme="1"/>
      <name val="Times New Roman"/>
      <charset val="134"/>
    </font>
    <font>
      <sz val="8"/>
      <name val="Times New Roman"/>
      <charset val="134"/>
    </font>
    <font>
      <sz val="8"/>
      <color theme="1"/>
      <name val="等线 Light"/>
      <charset val="134"/>
      <scheme val="major"/>
    </font>
    <font>
      <sz val="8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indexed="20"/>
      <name val="宋体"/>
      <charset val="134"/>
    </font>
    <font>
      <sz val="10"/>
      <name val="Arial"/>
      <charset val="134"/>
    </font>
    <font>
      <sz val="12"/>
      <color indexed="17"/>
      <name val="宋体"/>
      <charset val="134"/>
    </font>
    <font>
      <b/>
      <sz val="12"/>
      <color indexed="8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i/>
      <sz val="12"/>
      <color indexed="23"/>
      <name val="宋体"/>
      <charset val="134"/>
    </font>
    <font>
      <sz val="12"/>
      <color indexed="10"/>
      <name val="宋体"/>
      <charset val="134"/>
    </font>
    <font>
      <sz val="12"/>
      <color indexed="52"/>
      <name val="宋体"/>
      <charset val="134"/>
    </font>
    <font>
      <sz val="12"/>
      <color indexed="60"/>
      <name val="宋体"/>
      <charset val="134"/>
    </font>
    <font>
      <b/>
      <sz val="12"/>
      <color indexed="63"/>
      <name val="宋体"/>
      <charset val="134"/>
    </font>
    <font>
      <sz val="12"/>
      <color indexed="62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30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/>
    <xf numFmtId="0" fontId="29" fillId="0" borderId="0"/>
    <xf numFmtId="0" fontId="29" fillId="0" borderId="0"/>
    <xf numFmtId="0" fontId="29" fillId="0" borderId="0">
      <alignment vertical="center"/>
    </xf>
    <xf numFmtId="2" fontId="29" fillId="0" borderId="0">
      <alignment vertical="center"/>
    </xf>
    <xf numFmtId="2" fontId="29" fillId="0" borderId="0">
      <alignment horizontal="right" vertical="center"/>
    </xf>
    <xf numFmtId="0" fontId="29" fillId="0" borderId="0">
      <alignment vertical="center"/>
    </xf>
    <xf numFmtId="0" fontId="29" fillId="0" borderId="0">
      <alignment vertical="center"/>
    </xf>
    <xf numFmtId="2" fontId="29" fillId="0" borderId="0">
      <alignment vertical="center"/>
    </xf>
    <xf numFmtId="0" fontId="32" fillId="39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0" fontId="34" fillId="40" borderId="13" applyNumberFormat="0" applyAlignment="0" applyProtection="0">
      <alignment vertical="center"/>
    </xf>
    <xf numFmtId="0" fontId="35" fillId="41" borderId="1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40" borderId="16" applyNumberFormat="0" applyAlignment="0" applyProtection="0">
      <alignment vertical="center"/>
    </xf>
    <xf numFmtId="0" fontId="41" fillId="42" borderId="13" applyNumberFormat="0" applyAlignment="0" applyProtection="0">
      <alignment vertical="center"/>
    </xf>
    <xf numFmtId="0" fontId="29" fillId="43" borderId="17" applyNumberFormat="0" applyFont="0" applyAlignment="0" applyProtection="0">
      <alignment vertical="center"/>
    </xf>
    <xf numFmtId="0" fontId="29" fillId="43" borderId="17" applyNumberFormat="0" applyFont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59" applyNumberFormat="1" applyFont="1" applyFill="1" applyAlignment="1">
      <alignment horizontal="center" vertical="center"/>
    </xf>
    <xf numFmtId="177" fontId="4" fillId="3" borderId="0" xfId="60" applyNumberFormat="1" applyFont="1" applyFill="1" applyAlignment="1">
      <alignment horizontal="center" vertical="center"/>
    </xf>
    <xf numFmtId="178" fontId="4" fillId="3" borderId="0" xfId="59" applyNumberFormat="1" applyFont="1" applyFill="1" applyAlignment="1">
      <alignment horizontal="center" vertical="center"/>
    </xf>
    <xf numFmtId="177" fontId="4" fillId="3" borderId="0" xfId="61" applyNumberFormat="1" applyFont="1" applyFill="1" applyAlignment="1">
      <alignment horizontal="center" vertical="center"/>
    </xf>
    <xf numFmtId="178" fontId="4" fillId="4" borderId="0" xfId="50" applyNumberFormat="1" applyFont="1" applyFill="1" applyAlignment="1">
      <alignment horizontal="center" vertical="center"/>
    </xf>
    <xf numFmtId="2" fontId="4" fillId="3" borderId="0" xfId="49" applyNumberFormat="1" applyFont="1" applyFill="1" applyAlignment="1">
      <alignment horizontal="center" vertical="center"/>
    </xf>
    <xf numFmtId="1" fontId="4" fillId="3" borderId="0" xfId="49" applyNumberFormat="1" applyFont="1" applyFill="1" applyAlignment="1">
      <alignment horizontal="center" vertical="center"/>
    </xf>
    <xf numFmtId="179" fontId="4" fillId="3" borderId="0" xfId="49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0" fontId="4" fillId="3" borderId="0" xfId="49" applyFont="1" applyFill="1" applyAlignment="1">
      <alignment horizontal="center" vertical="center"/>
    </xf>
    <xf numFmtId="177" fontId="4" fillId="3" borderId="0" xfId="49" applyNumberFormat="1" applyFont="1" applyFill="1" applyAlignment="1">
      <alignment horizontal="center" vertical="center"/>
    </xf>
    <xf numFmtId="177" fontId="4" fillId="3" borderId="0" xfId="50" applyNumberFormat="1" applyFont="1" applyFill="1" applyAlignment="1">
      <alignment horizontal="center" vertical="center"/>
    </xf>
    <xf numFmtId="2" fontId="4" fillId="4" borderId="0" xfId="62" applyFont="1" applyFill="1" applyAlignment="1">
      <alignment horizontal="center" vertical="center"/>
    </xf>
    <xf numFmtId="2" fontId="4" fillId="4" borderId="0" xfId="58" applyFont="1" applyFill="1" applyAlignment="1">
      <alignment horizontal="center" vertical="center"/>
    </xf>
    <xf numFmtId="49" fontId="4" fillId="2" borderId="0" xfId="59" applyNumberFormat="1" applyFont="1" applyFill="1" applyAlignment="1">
      <alignment horizontal="center" vertical="center"/>
    </xf>
    <xf numFmtId="0" fontId="4" fillId="4" borderId="0" xfId="49" applyFont="1" applyFill="1" applyAlignment="1">
      <alignment horizontal="center" vertical="center"/>
    </xf>
    <xf numFmtId="1" fontId="4" fillId="3" borderId="1" xfId="49" applyNumberFormat="1" applyFont="1" applyFill="1" applyBorder="1" applyAlignment="1">
      <alignment horizontal="center" vertical="center"/>
    </xf>
    <xf numFmtId="180" fontId="4" fillId="4" borderId="1" xfId="49" applyNumberFormat="1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179" fontId="4" fillId="3" borderId="1" xfId="49" applyNumberFormat="1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0" xfId="57" applyFont="1" applyFill="1" applyAlignment="1">
      <alignment horizontal="right" vertical="center"/>
    </xf>
    <xf numFmtId="181" fontId="5" fillId="5" borderId="0" xfId="57" applyNumberFormat="1" applyFont="1" applyFill="1" applyAlignment="1">
      <alignment horizontal="right" vertical="center" wrapText="1"/>
    </xf>
    <xf numFmtId="0" fontId="5" fillId="5" borderId="0" xfId="57" applyFont="1" applyFill="1">
      <alignment vertical="center"/>
    </xf>
    <xf numFmtId="1" fontId="6" fillId="5" borderId="0" xfId="57" applyNumberFormat="1" applyFont="1" applyFill="1" applyAlignment="1">
      <alignment horizontal="right" vertical="center" wrapText="1"/>
    </xf>
    <xf numFmtId="0" fontId="4" fillId="3" borderId="0" xfId="57" applyFont="1" applyFill="1" applyAlignment="1">
      <alignment horizontal="right" vertical="center"/>
    </xf>
    <xf numFmtId="49" fontId="7" fillId="6" borderId="0" xfId="57" applyNumberFormat="1" applyFont="1" applyFill="1" applyAlignment="1">
      <alignment horizontal="left" vertical="center"/>
    </xf>
    <xf numFmtId="49" fontId="8" fillId="0" borderId="2" xfId="57" applyNumberFormat="1" applyFont="1" applyBorder="1" applyAlignment="1" applyProtection="1">
      <alignment horizontal="left" vertical="center"/>
      <protection locked="0"/>
    </xf>
    <xf numFmtId="1" fontId="9" fillId="4" borderId="0" xfId="57" applyNumberFormat="1" applyFont="1" applyFill="1" applyAlignment="1">
      <alignment horizontal="right" vertical="center" wrapText="1"/>
    </xf>
    <xf numFmtId="49" fontId="8" fillId="0" borderId="3" xfId="57" applyNumberFormat="1" applyFont="1" applyBorder="1" applyAlignment="1" applyProtection="1">
      <alignment horizontal="left" vertical="center"/>
      <protection locked="0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0,0_x000d__x000a_NA_x000d__x000a_ 2" xfId="50"/>
    <cellStyle name="差 2" xfId="51"/>
    <cellStyle name="常规 2" xfId="52"/>
    <cellStyle name="常规 2 2" xfId="53"/>
    <cellStyle name="常规 2 3" xfId="54"/>
    <cellStyle name="常规 3" xfId="55"/>
    <cellStyle name="常规 4" xfId="56"/>
    <cellStyle name="常规 5" xfId="57"/>
    <cellStyle name="常规_2009年鉴 ll15-11至16-21" xfId="58"/>
    <cellStyle name="常规_4D58E0001" xfId="59"/>
    <cellStyle name="常规_4地区生产总值现价" xfId="60"/>
    <cellStyle name="常规_4地区生产总值现价 2" xfId="61"/>
    <cellStyle name="常规_ll15-11至16-21" xfId="62"/>
    <cellStyle name="好 2" xfId="63"/>
    <cellStyle name="汇总 2" xfId="64"/>
    <cellStyle name="货币 2" xfId="65"/>
    <cellStyle name="货币 3" xfId="66"/>
    <cellStyle name="计算 2" xfId="67"/>
    <cellStyle name="检查单元格 2" xfId="68"/>
    <cellStyle name="解释性文本 2" xfId="69"/>
    <cellStyle name="警告文本 2" xfId="70"/>
    <cellStyle name="链接单元格 2" xfId="71"/>
    <cellStyle name="适中 2" xfId="72"/>
    <cellStyle name="输出 2" xfId="73"/>
    <cellStyle name="输入 2" xfId="74"/>
    <cellStyle name="注释 2" xfId="75"/>
    <cellStyle name="注释 2 2" xfId="7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经济指标状况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Sheet1!$G$1:$G$2</c:f>
              <c:strCache>
                <c:ptCount val="1"/>
                <c:pt idx="0">
                  <c:v>进出口总额(X5) （万美元）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Sheet1!$A$3:$A$23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 c:formatCode="@">
                  <c:v>2015</c:v>
                </c:pt>
                <c:pt idx="15" c:formatCode="@">
                  <c:v>2016</c:v>
                </c:pt>
                <c:pt idx="16" c:formatCode="@">
                  <c:v>2017</c:v>
                </c:pt>
                <c:pt idx="17" c:formatCode="@">
                  <c:v>2018</c:v>
                </c:pt>
                <c:pt idx="18" c:formatCode="@">
                  <c:v>2019</c:v>
                </c:pt>
                <c:pt idx="19" c:formatCode="@">
                  <c:v>2020</c:v>
                </c:pt>
                <c:pt idx="20" c:formatCode="@">
                  <c:v>2021</c:v>
                </c:pt>
              </c:strCache>
            </c:strRef>
          </c:cat>
          <c:val>
            <c:numRef>
              <c:f>Sheet1!$G$3:$G$23</c:f>
              <c:numCache>
                <c:formatCode>0</c:formatCode>
                <c:ptCount val="21"/>
                <c:pt idx="0">
                  <c:v>357720</c:v>
                </c:pt>
                <c:pt idx="1">
                  <c:v>395314</c:v>
                </c:pt>
                <c:pt idx="2">
                  <c:v>510930</c:v>
                </c:pt>
                <c:pt idx="3">
                  <c:v>676581</c:v>
                </c:pt>
                <c:pt idx="4">
                  <c:v>905475</c:v>
                </c:pt>
                <c:pt idx="5">
                  <c:v>1176219</c:v>
                </c:pt>
                <c:pt idx="6">
                  <c:v>1489647</c:v>
                </c:pt>
                <c:pt idx="7">
                  <c:v>2070567</c:v>
                </c:pt>
                <c:pt idx="8">
                  <c:v>1725102</c:v>
                </c:pt>
                <c:pt idx="9">
                  <c:v>2593211</c:v>
                </c:pt>
                <c:pt idx="10">
                  <c:v>3358693</c:v>
                </c:pt>
                <c:pt idx="11">
                  <c:v>3196409</c:v>
                </c:pt>
                <c:pt idx="12">
                  <c:v>3638928</c:v>
                </c:pt>
                <c:pt idx="13">
                  <c:v>4306401</c:v>
                </c:pt>
                <c:pt idx="14">
                  <c:v>4560531</c:v>
                </c:pt>
                <c:pt idx="15">
                  <c:v>3939760</c:v>
                </c:pt>
                <c:pt idx="16">
                  <c:v>4630863</c:v>
                </c:pt>
                <c:pt idx="17">
                  <c:v>5280245</c:v>
                </c:pt>
                <c:pt idx="18">
                  <c:v>5712846.6</c:v>
                </c:pt>
                <c:pt idx="19">
                  <c:v>6208343</c:v>
                </c:pt>
                <c:pt idx="20">
                  <c:v>8314352</c:v>
                </c:pt>
              </c:numCache>
            </c:numRef>
          </c:val>
        </c:ser>
        <c:ser>
          <c:idx val="1"/>
          <c:order val="1"/>
          <c:tx>
            <c:strRef>
              <c:f>Sheet1!$M$1:$M$2</c:f>
              <c:strCache>
                <c:ptCount val="1"/>
                <c:pt idx="0">
                  <c:v>普通高等学校毕业生人数(X11) （人）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Sheet1!$A$3:$A$23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 c:formatCode="@">
                  <c:v>2015</c:v>
                </c:pt>
                <c:pt idx="15" c:formatCode="@">
                  <c:v>2016</c:v>
                </c:pt>
                <c:pt idx="16" c:formatCode="@">
                  <c:v>2017</c:v>
                </c:pt>
                <c:pt idx="17" c:formatCode="@">
                  <c:v>2018</c:v>
                </c:pt>
                <c:pt idx="18" c:formatCode="@">
                  <c:v>2019</c:v>
                </c:pt>
                <c:pt idx="19" c:formatCode="@">
                  <c:v>2020</c:v>
                </c:pt>
                <c:pt idx="20" c:formatCode="@">
                  <c:v>2021</c:v>
                </c:pt>
              </c:strCache>
            </c:strRef>
          </c:cat>
          <c:val>
            <c:numRef>
              <c:f>Sheet1!$M$3:$M$23</c:f>
              <c:numCache>
                <c:formatCode>General</c:formatCode>
                <c:ptCount val="21"/>
                <c:pt idx="0">
                  <c:v>60443</c:v>
                </c:pt>
                <c:pt idx="1">
                  <c:v>78430</c:v>
                </c:pt>
                <c:pt idx="2">
                  <c:v>119118</c:v>
                </c:pt>
                <c:pt idx="3">
                  <c:v>143246</c:v>
                </c:pt>
                <c:pt idx="4">
                  <c:v>187920</c:v>
                </c:pt>
                <c:pt idx="5">
                  <c:v>262591</c:v>
                </c:pt>
                <c:pt idx="6">
                  <c:v>276005</c:v>
                </c:pt>
                <c:pt idx="7">
                  <c:v>330122</c:v>
                </c:pt>
                <c:pt idx="8">
                  <c:v>336823</c:v>
                </c:pt>
                <c:pt idx="9">
                  <c:v>331303</c:v>
                </c:pt>
                <c:pt idx="10">
                  <c:v>357818</c:v>
                </c:pt>
                <c:pt idx="11">
                  <c:v>353014</c:v>
                </c:pt>
                <c:pt idx="12">
                  <c:v>361572</c:v>
                </c:pt>
                <c:pt idx="13">
                  <c:v>390921</c:v>
                </c:pt>
                <c:pt idx="14">
                  <c:v>389206</c:v>
                </c:pt>
                <c:pt idx="15">
                  <c:v>394158</c:v>
                </c:pt>
                <c:pt idx="16">
                  <c:v>394897</c:v>
                </c:pt>
                <c:pt idx="17">
                  <c:v>375447</c:v>
                </c:pt>
                <c:pt idx="18">
                  <c:v>383673</c:v>
                </c:pt>
                <c:pt idx="19">
                  <c:v>401779</c:v>
                </c:pt>
                <c:pt idx="20">
                  <c:v>415535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006831"/>
        <c:axId val="1140008271"/>
      </c:barChart>
      <c:catAx>
        <c:axId val="114000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0008271"/>
        <c:crosses val="autoZero"/>
        <c:auto val="1"/>
        <c:lblAlgn val="ctr"/>
        <c:lblOffset val="100"/>
        <c:noMultiLvlLbl val="0"/>
      </c:catAx>
      <c:valAx>
        <c:axId val="11400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000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575bdc-3648-48dc-bcc0-1abbcd162b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669925</xdr:colOff>
      <xdr:row>25</xdr:row>
      <xdr:rowOff>1270</xdr:rowOff>
    </xdr:from>
    <xdr:to>
      <xdr:col>11</xdr:col>
      <xdr:colOff>48930</xdr:colOff>
      <xdr:row>40</xdr:row>
      <xdr:rowOff>123400</xdr:rowOff>
    </xdr:to>
    <xdr:graphicFrame>
      <xdr:nvGraphicFramePr>
        <xdr:cNvPr id="7" name="图表 6"/>
        <xdr:cNvGraphicFramePr/>
      </xdr:nvGraphicFramePr>
      <xdr:xfrm>
        <a:off x="3237865" y="4561840"/>
        <a:ext cx="4575810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zoomScale="109" zoomScaleNormal="109" workbookViewId="0">
      <selection activeCell="N4" sqref="N4"/>
    </sheetView>
  </sheetViews>
  <sheetFormatPr defaultColWidth="9" defaultRowHeight="13.8"/>
  <cols>
    <col min="1" max="1" width="7.66666666666667" customWidth="1"/>
    <col min="2" max="2" width="9.66666666666667" customWidth="1"/>
    <col min="3" max="3" width="10.4444444444444" customWidth="1"/>
    <col min="4" max="4" width="9.66666666666667" customWidth="1"/>
    <col min="5" max="6" width="10.4444444444444" customWidth="1"/>
    <col min="7" max="7" width="11.8888888888889" style="2" customWidth="1"/>
    <col min="8" max="9" width="12.2222222222222" style="2" customWidth="1"/>
    <col min="10" max="10" width="8.88888888888889" style="2" customWidth="1"/>
    <col min="11" max="12" width="9.66666666666667" style="2" customWidth="1"/>
    <col min="13" max="13" width="12" customWidth="1"/>
  </cols>
  <sheetData>
    <row r="1" s="1" customFormat="1" ht="27.9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O1" s="3"/>
    </row>
    <row r="2" spans="1:15">
      <c r="A2" s="2" t="s">
        <v>13</v>
      </c>
      <c r="B2" s="2" t="s">
        <v>14</v>
      </c>
      <c r="C2" s="2" t="s">
        <v>15</v>
      </c>
      <c r="D2" s="2" t="s">
        <v>14</v>
      </c>
      <c r="E2" s="2" t="s">
        <v>16</v>
      </c>
      <c r="F2" s="2" t="s">
        <v>14</v>
      </c>
      <c r="G2" s="2" t="s">
        <v>17</v>
      </c>
      <c r="H2" s="2" t="s">
        <v>14</v>
      </c>
      <c r="I2" s="2" t="s">
        <v>14</v>
      </c>
      <c r="J2" s="2" t="s">
        <v>18</v>
      </c>
      <c r="K2" s="2" t="s">
        <v>14</v>
      </c>
      <c r="L2" s="2" t="s">
        <v>15</v>
      </c>
      <c r="M2" s="5" t="s">
        <v>19</v>
      </c>
      <c r="N2" s="2"/>
      <c r="O2" s="2"/>
    </row>
    <row r="3" spans="1:15">
      <c r="A3" s="6">
        <v>2001</v>
      </c>
      <c r="B3" s="7">
        <v>3880.53</v>
      </c>
      <c r="C3" s="8">
        <v>5956.6</v>
      </c>
      <c r="D3" s="9">
        <v>1619.03415913953</v>
      </c>
      <c r="E3" s="10">
        <v>5856</v>
      </c>
      <c r="F3" s="11">
        <v>1551.75</v>
      </c>
      <c r="G3" s="12">
        <v>357720</v>
      </c>
      <c r="H3" s="11">
        <v>231.94</v>
      </c>
      <c r="I3" s="11">
        <v>484.4</v>
      </c>
      <c r="J3" s="13">
        <v>6197</v>
      </c>
      <c r="K3" s="14">
        <v>2020.53263079878</v>
      </c>
      <c r="L3" s="15">
        <v>29.48</v>
      </c>
      <c r="M3" s="5">
        <v>60443</v>
      </c>
      <c r="O3" s="7"/>
    </row>
    <row r="4" spans="1:15">
      <c r="A4" s="6">
        <v>2002</v>
      </c>
      <c r="B4" s="7">
        <v>4212.82</v>
      </c>
      <c r="C4" s="8">
        <v>5978.2</v>
      </c>
      <c r="D4" s="9">
        <v>1801.41452791157</v>
      </c>
      <c r="E4" s="10">
        <v>6789</v>
      </c>
      <c r="F4" s="11">
        <v>1695.22</v>
      </c>
      <c r="G4" s="12">
        <v>395314</v>
      </c>
      <c r="H4" s="16">
        <v>243.44</v>
      </c>
      <c r="I4" s="11">
        <v>511.39</v>
      </c>
      <c r="J4" s="13">
        <v>6183</v>
      </c>
      <c r="K4" s="14">
        <v>2183.79924436827</v>
      </c>
      <c r="L4" s="15">
        <v>25.3</v>
      </c>
      <c r="M4" s="5">
        <v>78430</v>
      </c>
      <c r="O4" s="7"/>
    </row>
    <row r="5" spans="1:15">
      <c r="A5" s="6">
        <v>2003</v>
      </c>
      <c r="B5" s="7">
        <v>4757.45</v>
      </c>
      <c r="C5" s="8">
        <v>6000.5</v>
      </c>
      <c r="D5" s="9">
        <v>2009.34330853477</v>
      </c>
      <c r="E5" s="10">
        <v>7322</v>
      </c>
      <c r="F5" s="11">
        <v>1883.59</v>
      </c>
      <c r="G5" s="12">
        <v>510930</v>
      </c>
      <c r="H5" s="16">
        <v>259.76</v>
      </c>
      <c r="I5" s="11">
        <v>540.44</v>
      </c>
      <c r="J5" s="13">
        <v>6271</v>
      </c>
      <c r="K5" s="14">
        <v>2425.08162283307</v>
      </c>
      <c r="L5" s="15">
        <v>25.62</v>
      </c>
      <c r="M5" s="5">
        <v>119118</v>
      </c>
      <c r="O5" s="7"/>
    </row>
    <row r="6" spans="1:15">
      <c r="A6" s="6">
        <v>2004</v>
      </c>
      <c r="B6" s="7">
        <v>5546.78</v>
      </c>
      <c r="C6" s="8">
        <v>6001.3</v>
      </c>
      <c r="D6" s="9">
        <v>2264.37729866376</v>
      </c>
      <c r="E6" s="10">
        <v>8022.8</v>
      </c>
      <c r="F6" s="11">
        <v>2356.38</v>
      </c>
      <c r="G6" s="12">
        <v>676581</v>
      </c>
      <c r="H6" s="11">
        <v>310.45</v>
      </c>
      <c r="I6" s="11">
        <v>646.29</v>
      </c>
      <c r="J6" s="13">
        <v>6232</v>
      </c>
      <c r="K6" s="14">
        <v>2711.27857720303</v>
      </c>
      <c r="L6" s="15">
        <v>26.06</v>
      </c>
      <c r="M6" s="5">
        <v>143246</v>
      </c>
      <c r="O6" s="7"/>
    </row>
    <row r="7" spans="1:15">
      <c r="A7" s="6">
        <v>2005</v>
      </c>
      <c r="B7" s="17">
        <v>6469.66</v>
      </c>
      <c r="C7" s="8">
        <v>5984.1</v>
      </c>
      <c r="D7" s="18">
        <v>2641.02296638411</v>
      </c>
      <c r="E7" s="10">
        <v>8786</v>
      </c>
      <c r="F7" s="11">
        <v>2834.75</v>
      </c>
      <c r="G7" s="12">
        <v>905475</v>
      </c>
      <c r="H7" s="11">
        <v>375.52</v>
      </c>
      <c r="I7" s="11">
        <v>778.72</v>
      </c>
      <c r="J7" s="13">
        <v>6813</v>
      </c>
      <c r="K7" s="14">
        <v>3099.23215409958</v>
      </c>
      <c r="L7" s="15">
        <v>26.22</v>
      </c>
      <c r="M7" s="5">
        <v>187920</v>
      </c>
      <c r="O7" s="17"/>
    </row>
    <row r="8" spans="1:15">
      <c r="A8" s="6">
        <v>2006</v>
      </c>
      <c r="B8" s="17">
        <v>7531.8</v>
      </c>
      <c r="C8" s="8">
        <v>6038.3</v>
      </c>
      <c r="D8" s="18">
        <v>3135.47543840362</v>
      </c>
      <c r="E8" s="10">
        <v>9803</v>
      </c>
      <c r="F8" s="11">
        <v>3572.69</v>
      </c>
      <c r="G8" s="12">
        <v>1176219</v>
      </c>
      <c r="H8" s="11">
        <v>476.08</v>
      </c>
      <c r="I8" s="11">
        <v>1047</v>
      </c>
      <c r="J8" s="13">
        <v>7546</v>
      </c>
      <c r="K8" s="14">
        <v>3601.88603261839</v>
      </c>
      <c r="L8" s="15">
        <v>26.53</v>
      </c>
      <c r="M8" s="5">
        <v>262591</v>
      </c>
      <c r="O8" s="17"/>
    </row>
    <row r="9" spans="1:15">
      <c r="A9" s="6">
        <v>2007</v>
      </c>
      <c r="B9" s="17">
        <v>9451.39</v>
      </c>
      <c r="C9" s="8">
        <v>6084.9</v>
      </c>
      <c r="D9" s="18">
        <v>3991.05626045803</v>
      </c>
      <c r="E9" s="10">
        <v>11485</v>
      </c>
      <c r="F9" s="11">
        <v>4534.14</v>
      </c>
      <c r="G9" s="12">
        <v>1489647</v>
      </c>
      <c r="H9" s="11">
        <v>590.36</v>
      </c>
      <c r="I9" s="11">
        <v>1274.27</v>
      </c>
      <c r="J9" s="13">
        <v>8996</v>
      </c>
      <c r="K9" s="14">
        <v>4294.35783173975</v>
      </c>
      <c r="L9" s="15">
        <v>27.8</v>
      </c>
      <c r="M9" s="5">
        <v>276005</v>
      </c>
      <c r="O9" s="17"/>
    </row>
    <row r="10" spans="1:15">
      <c r="A10" s="6">
        <v>2008</v>
      </c>
      <c r="B10" s="17">
        <v>11497.46</v>
      </c>
      <c r="C10" s="8">
        <v>6110.8</v>
      </c>
      <c r="D10" s="18">
        <v>4715.2357128913</v>
      </c>
      <c r="E10" s="10">
        <v>13153</v>
      </c>
      <c r="F10" s="11">
        <v>5798.56</v>
      </c>
      <c r="G10" s="12">
        <v>2070567</v>
      </c>
      <c r="H10" s="11">
        <v>710.85</v>
      </c>
      <c r="I10" s="11">
        <v>1650.28</v>
      </c>
      <c r="J10" s="13">
        <v>12067</v>
      </c>
      <c r="K10" s="14">
        <v>5345.9967124046</v>
      </c>
      <c r="L10" s="15">
        <v>28.48</v>
      </c>
      <c r="M10" s="5">
        <v>330122</v>
      </c>
      <c r="O10" s="17"/>
    </row>
    <row r="11" spans="1:15">
      <c r="A11" s="6">
        <v>2009</v>
      </c>
      <c r="B11" s="17">
        <v>13192.14</v>
      </c>
      <c r="C11" s="8">
        <v>6141.9</v>
      </c>
      <c r="D11" s="18">
        <v>5439.30307114345</v>
      </c>
      <c r="E11" s="10">
        <v>14367</v>
      </c>
      <c r="F11" s="11">
        <v>8211.85</v>
      </c>
      <c r="G11" s="12">
        <v>1725102</v>
      </c>
      <c r="H11" s="11">
        <v>814.87</v>
      </c>
      <c r="I11" s="11">
        <v>2090.92</v>
      </c>
      <c r="J11" s="13">
        <v>14027</v>
      </c>
      <c r="K11" s="14">
        <v>6216.20252835949</v>
      </c>
      <c r="L11" s="19">
        <v>33.71</v>
      </c>
      <c r="M11" s="5">
        <v>336823</v>
      </c>
      <c r="O11" s="17"/>
    </row>
    <row r="12" spans="1:15">
      <c r="A12" s="6">
        <v>2010</v>
      </c>
      <c r="B12" s="17">
        <v>16226.94</v>
      </c>
      <c r="C12" s="8">
        <v>6176</v>
      </c>
      <c r="D12" s="18">
        <v>6435.48019069162</v>
      </c>
      <c r="E12" s="10">
        <v>16058.4</v>
      </c>
      <c r="F12" s="11">
        <v>10802.69</v>
      </c>
      <c r="G12" s="12">
        <v>2593211</v>
      </c>
      <c r="H12" s="11">
        <v>1011.23</v>
      </c>
      <c r="I12" s="11">
        <v>2501.4</v>
      </c>
      <c r="J12" s="13">
        <v>16106</v>
      </c>
      <c r="K12" s="14">
        <v>7365.71803672257</v>
      </c>
      <c r="L12" s="20">
        <v>34.95</v>
      </c>
      <c r="M12" s="5">
        <v>331303</v>
      </c>
      <c r="O12" s="17"/>
    </row>
    <row r="13" spans="1:15">
      <c r="A13" s="6">
        <v>2011</v>
      </c>
      <c r="B13" s="17">
        <v>19942.45</v>
      </c>
      <c r="C13" s="8">
        <v>6164.1</v>
      </c>
      <c r="D13" s="18">
        <v>7707.12074042247</v>
      </c>
      <c r="E13" s="10">
        <v>18373.9</v>
      </c>
      <c r="F13" s="11">
        <v>12935.02</v>
      </c>
      <c r="G13" s="12">
        <v>3358693</v>
      </c>
      <c r="H13" s="11">
        <v>1526.91</v>
      </c>
      <c r="I13" s="11">
        <v>3214.74</v>
      </c>
      <c r="J13" s="13">
        <v>10633</v>
      </c>
      <c r="K13" s="14">
        <v>8792.127113931</v>
      </c>
      <c r="L13" s="20">
        <v>36.52</v>
      </c>
      <c r="M13" s="5">
        <v>357818</v>
      </c>
      <c r="O13" s="17"/>
    </row>
    <row r="14" spans="1:15">
      <c r="A14" s="6">
        <v>2012</v>
      </c>
      <c r="B14" s="17">
        <v>22590.89</v>
      </c>
      <c r="C14" s="8">
        <v>6165.4</v>
      </c>
      <c r="D14" s="18">
        <v>8763.51594929019</v>
      </c>
      <c r="E14" s="10">
        <v>20839.6</v>
      </c>
      <c r="F14" s="11">
        <v>16504.17</v>
      </c>
      <c r="G14" s="12">
        <v>3196409</v>
      </c>
      <c r="H14" s="11">
        <v>1823.05</v>
      </c>
      <c r="I14" s="11">
        <v>3759.79</v>
      </c>
      <c r="J14" s="13">
        <v>12441</v>
      </c>
      <c r="K14" s="14">
        <v>10199.519967037</v>
      </c>
      <c r="L14" s="20">
        <v>38.64</v>
      </c>
      <c r="M14" s="5">
        <v>353014</v>
      </c>
      <c r="O14" s="17"/>
    </row>
    <row r="15" spans="1:15">
      <c r="A15" s="6">
        <v>2013</v>
      </c>
      <c r="B15" s="17">
        <v>25378.01</v>
      </c>
      <c r="C15" s="8">
        <v>6170.6</v>
      </c>
      <c r="D15" s="18">
        <v>10647.9815967775</v>
      </c>
      <c r="E15" s="10">
        <v>22906.4</v>
      </c>
      <c r="F15" s="11">
        <v>20753.91</v>
      </c>
      <c r="G15" s="12">
        <v>3638928</v>
      </c>
      <c r="H15" s="11">
        <v>2191.22</v>
      </c>
      <c r="I15" s="11">
        <v>4371.65</v>
      </c>
      <c r="J15" s="13">
        <v>14650</v>
      </c>
      <c r="K15" s="14">
        <v>11649.5502430844</v>
      </c>
      <c r="L15" s="20">
        <v>41.12</v>
      </c>
      <c r="M15" s="5">
        <v>361572</v>
      </c>
      <c r="O15" s="17"/>
    </row>
    <row r="16" spans="1:15">
      <c r="A16" s="6">
        <v>2014</v>
      </c>
      <c r="B16" s="17">
        <v>28242.13</v>
      </c>
      <c r="C16" s="8">
        <v>6162.3</v>
      </c>
      <c r="D16" s="18">
        <v>12232.6252640948</v>
      </c>
      <c r="E16" s="10">
        <v>24852.3</v>
      </c>
      <c r="F16" s="11">
        <v>25001.77</v>
      </c>
      <c r="G16" s="12">
        <v>4306401</v>
      </c>
      <c r="H16" s="11">
        <v>2566.9</v>
      </c>
      <c r="I16" s="11">
        <v>4934.15</v>
      </c>
      <c r="J16" s="13">
        <v>15957</v>
      </c>
      <c r="K16" s="14">
        <v>13164.4712129552</v>
      </c>
      <c r="L16" s="20">
        <v>43.82</v>
      </c>
      <c r="M16" s="5">
        <v>390921</v>
      </c>
      <c r="O16" s="17"/>
    </row>
    <row r="17" spans="1:21">
      <c r="A17" s="21" t="s">
        <v>20</v>
      </c>
      <c r="B17" s="17">
        <v>30344</v>
      </c>
      <c r="C17" s="8">
        <v>6138.9</v>
      </c>
      <c r="D17" s="18">
        <v>13664.5828788304</v>
      </c>
      <c r="E17" s="10">
        <v>27051.5</v>
      </c>
      <c r="F17" s="11">
        <v>29191.06</v>
      </c>
      <c r="G17" s="12">
        <v>4560531</v>
      </c>
      <c r="H17" s="11">
        <v>3005.53</v>
      </c>
      <c r="I17" s="11">
        <v>6132.84</v>
      </c>
      <c r="J17" s="13">
        <v>16413</v>
      </c>
      <c r="K17" s="14">
        <v>14847.8845884661</v>
      </c>
      <c r="L17" s="20">
        <v>47.55</v>
      </c>
      <c r="M17" s="5">
        <v>389206</v>
      </c>
      <c r="O17" s="17"/>
    </row>
    <row r="18" spans="1:21">
      <c r="A18" s="21" t="s">
        <v>21</v>
      </c>
      <c r="B18" s="17">
        <v>33353</v>
      </c>
      <c r="C18" s="8">
        <v>6156.7634</v>
      </c>
      <c r="D18" s="18">
        <v>15419.5297341736</v>
      </c>
      <c r="E18" s="10">
        <v>29385.8</v>
      </c>
      <c r="F18" s="11">
        <v>29503.88</v>
      </c>
      <c r="G18" s="12">
        <v>3939760</v>
      </c>
      <c r="H18" s="11">
        <v>3102.06</v>
      </c>
      <c r="I18" s="11">
        <v>6422.98</v>
      </c>
      <c r="J18" s="13">
        <v>16296</v>
      </c>
      <c r="K18" s="14">
        <v>16601.8822845582</v>
      </c>
      <c r="L18" s="20">
        <v>49.54</v>
      </c>
      <c r="M18" s="5">
        <v>394158</v>
      </c>
      <c r="O18" s="17"/>
    </row>
    <row r="19" spans="1:21">
      <c r="A19" s="21" t="s">
        <v>22</v>
      </c>
      <c r="B19" s="17">
        <v>37235</v>
      </c>
      <c r="C19" s="8">
        <v>6141.7968</v>
      </c>
      <c r="D19" s="18">
        <v>17992.1790047006</v>
      </c>
      <c r="E19" s="10">
        <v>31889.4</v>
      </c>
      <c r="F19" s="11">
        <v>31872.57</v>
      </c>
      <c r="G19" s="12">
        <v>4630863</v>
      </c>
      <c r="H19" s="11">
        <v>3248.44</v>
      </c>
      <c r="I19" s="11">
        <v>6831.74</v>
      </c>
      <c r="J19" s="13">
        <v>15097</v>
      </c>
      <c r="K19" s="14">
        <v>18519.6504665214</v>
      </c>
      <c r="L19" s="20">
        <v>51.04</v>
      </c>
      <c r="M19" s="5">
        <v>394897</v>
      </c>
      <c r="O19" s="17"/>
    </row>
    <row r="20" spans="1:21">
      <c r="A20" s="21" t="s">
        <v>23</v>
      </c>
      <c r="B20" s="17">
        <v>42021.95</v>
      </c>
      <c r="C20" s="8">
        <v>6172.9</v>
      </c>
      <c r="D20" s="18">
        <v>20899.9061403378</v>
      </c>
      <c r="E20" s="10">
        <v>34454.6</v>
      </c>
      <c r="F20" s="11">
        <f>F19*(1+0.11)</f>
        <v>35378.5527</v>
      </c>
      <c r="G20" s="12">
        <v>5280245</v>
      </c>
      <c r="H20" s="22">
        <v>3307.08</v>
      </c>
      <c r="I20" s="22">
        <v>7258.27</v>
      </c>
      <c r="J20" s="13">
        <v>15222</v>
      </c>
      <c r="K20" s="14">
        <v>20598.1573007083</v>
      </c>
      <c r="L20" s="20">
        <v>52.1767</v>
      </c>
      <c r="M20" s="5">
        <v>375447</v>
      </c>
      <c r="O20" s="17"/>
    </row>
    <row r="21" spans="1:21">
      <c r="A21" s="21" t="s">
        <v>24</v>
      </c>
      <c r="B21" s="17">
        <v>45428.96</v>
      </c>
      <c r="C21" s="8">
        <v>6177.8</v>
      </c>
      <c r="D21" s="18">
        <v>22896.5005595206</v>
      </c>
      <c r="E21" s="10">
        <v>37601.3595755451</v>
      </c>
      <c r="F21" s="11">
        <f>F20*(1+0.106)</f>
        <v>39128.6792862</v>
      </c>
      <c r="G21" s="12">
        <v>5712846.6</v>
      </c>
      <c r="H21" s="22">
        <v>3388.57</v>
      </c>
      <c r="I21" s="22">
        <v>7970.21</v>
      </c>
      <c r="J21" s="13">
        <v>15520</v>
      </c>
      <c r="K21" s="14">
        <v>22722.3101</v>
      </c>
      <c r="L21" s="20">
        <v>52.9813</v>
      </c>
      <c r="M21" s="5">
        <v>383673</v>
      </c>
      <c r="O21" s="17"/>
    </row>
    <row r="22" spans="1:21">
      <c r="A22" s="21" t="s">
        <v>25</v>
      </c>
      <c r="B22" s="17">
        <v>43004.4932910764</v>
      </c>
      <c r="C22" s="8">
        <v>6160.1</v>
      </c>
      <c r="D22" s="18">
        <v>22937.5477193636</v>
      </c>
      <c r="E22" s="10">
        <v>36705.7421875</v>
      </c>
      <c r="F22" s="11">
        <f>F21*(1-0.188)</f>
        <v>31772.4875803944</v>
      </c>
      <c r="G22" s="12">
        <v>6208343</v>
      </c>
      <c r="H22" s="22">
        <v>2511.54</v>
      </c>
      <c r="I22" s="22">
        <v>8442.88</v>
      </c>
      <c r="J22" s="13">
        <v>15708</v>
      </c>
      <c r="K22" s="14">
        <v>17984.8699</v>
      </c>
      <c r="L22" s="20">
        <v>53.87</v>
      </c>
      <c r="M22" s="5">
        <v>401779</v>
      </c>
      <c r="O22" s="17"/>
    </row>
    <row r="23" spans="1:21">
      <c r="A23" s="21" t="s">
        <v>26</v>
      </c>
      <c r="B23" s="17">
        <v>50012.9369</v>
      </c>
      <c r="C23" s="8">
        <v>6142.8</v>
      </c>
      <c r="D23" s="18">
        <v>26398.3679</v>
      </c>
      <c r="E23" s="10">
        <v>40277.7688753375</v>
      </c>
      <c r="F23" s="11">
        <f>F22*(1+0.204)</f>
        <v>38254.0750467949</v>
      </c>
      <c r="G23" s="23">
        <v>8314352</v>
      </c>
      <c r="H23" s="24">
        <v>3283.3</v>
      </c>
      <c r="I23" s="25">
        <v>7937.28</v>
      </c>
      <c r="J23" s="26">
        <v>16792</v>
      </c>
      <c r="K23" s="27">
        <v>21561.36837</v>
      </c>
      <c r="L23" s="28">
        <v>56.42</v>
      </c>
      <c r="M23" s="5">
        <v>415535</v>
      </c>
      <c r="O23" s="17"/>
    </row>
    <row r="30" spans="1:21">
      <c r="M30" s="29"/>
      <c r="N30" s="30"/>
      <c r="O30" s="29"/>
      <c r="P30" s="31"/>
      <c r="Q30" s="32"/>
    </row>
    <row r="31" spans="1:21">
      <c r="H31" s="33"/>
      <c r="I31" s="33"/>
      <c r="J31" s="33"/>
      <c r="K31" s="33"/>
      <c r="L31" s="33"/>
      <c r="T31" s="34"/>
      <c r="U31" s="34"/>
    </row>
    <row r="33" spans="5:17">
      <c r="K33" s="35"/>
      <c r="L33" s="35"/>
      <c r="M33" s="35"/>
      <c r="N33" s="35"/>
      <c r="O33" s="35"/>
      <c r="P33" s="35"/>
      <c r="Q33" s="35"/>
    </row>
    <row r="34" spans="5:17">
      <c r="E34" s="33"/>
      <c r="F34" s="33"/>
      <c r="G34" s="33"/>
      <c r="H34" s="33"/>
      <c r="I34" s="36"/>
    </row>
    <row r="36" spans="5:17">
      <c r="K36" s="37"/>
      <c r="L36" s="37"/>
      <c r="M36" s="37"/>
      <c r="N36" s="37"/>
      <c r="O36" s="37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1" sqref="A1:M22"/>
    </sheetView>
  </sheetViews>
  <sheetFormatPr defaultColWidth="9" defaultRowHeight="13.8"/>
  <sheetData>
    <row r="1" spans="1:1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>
      <c r="A2">
        <v>2001</v>
      </c>
      <c r="B2">
        <v>3880.53</v>
      </c>
      <c r="C2">
        <v>5956.6</v>
      </c>
      <c r="D2">
        <v>1619.03</v>
      </c>
      <c r="E2">
        <v>5856</v>
      </c>
      <c r="F2">
        <v>1551.75</v>
      </c>
      <c r="G2">
        <v>357720</v>
      </c>
      <c r="H2">
        <v>231.94</v>
      </c>
      <c r="I2">
        <v>484.4</v>
      </c>
      <c r="J2">
        <v>6197</v>
      </c>
      <c r="K2">
        <v>2020.53</v>
      </c>
      <c r="L2">
        <v>29.48</v>
      </c>
      <c r="M2">
        <v>60443</v>
      </c>
    </row>
    <row r="3" spans="1:13">
      <c r="A3">
        <v>2002</v>
      </c>
      <c r="B3">
        <v>4212.82</v>
      </c>
      <c r="C3">
        <v>5978.2</v>
      </c>
      <c r="D3">
        <v>1801.41</v>
      </c>
      <c r="E3">
        <v>6789</v>
      </c>
      <c r="F3">
        <v>1695.22</v>
      </c>
      <c r="G3">
        <v>395314</v>
      </c>
      <c r="H3">
        <v>243.44</v>
      </c>
      <c r="I3">
        <v>511.39</v>
      </c>
      <c r="J3">
        <v>6183</v>
      </c>
      <c r="K3">
        <v>2183.8</v>
      </c>
      <c r="L3">
        <v>25.3</v>
      </c>
      <c r="M3">
        <v>78430</v>
      </c>
    </row>
    <row r="4" spans="1:13">
      <c r="A4">
        <v>2003</v>
      </c>
      <c r="B4">
        <v>4757.45</v>
      </c>
      <c r="C4">
        <v>6000.5</v>
      </c>
      <c r="D4">
        <v>2009.34</v>
      </c>
      <c r="E4">
        <v>7322</v>
      </c>
      <c r="F4">
        <v>1883.59</v>
      </c>
      <c r="G4">
        <v>510930</v>
      </c>
      <c r="H4">
        <v>259.76</v>
      </c>
      <c r="I4">
        <v>540.44</v>
      </c>
      <c r="J4">
        <v>6271</v>
      </c>
      <c r="K4">
        <v>2425.08</v>
      </c>
      <c r="L4">
        <v>25.62</v>
      </c>
      <c r="M4">
        <v>119118</v>
      </c>
    </row>
    <row r="5" spans="1:13">
      <c r="A5">
        <v>2004</v>
      </c>
      <c r="B5">
        <v>5546.78</v>
      </c>
      <c r="C5">
        <v>6001.3</v>
      </c>
      <c r="D5">
        <v>2264.38</v>
      </c>
      <c r="E5">
        <v>8022.8</v>
      </c>
      <c r="F5">
        <v>2356.38</v>
      </c>
      <c r="G5">
        <v>676581</v>
      </c>
      <c r="H5">
        <v>310.45</v>
      </c>
      <c r="I5">
        <v>646.29</v>
      </c>
      <c r="J5">
        <v>6232</v>
      </c>
      <c r="K5">
        <v>2711.28</v>
      </c>
      <c r="L5">
        <v>26.06</v>
      </c>
      <c r="M5">
        <v>143246</v>
      </c>
    </row>
    <row r="6" spans="1:13">
      <c r="A6">
        <v>2005</v>
      </c>
      <c r="B6">
        <v>6469.66</v>
      </c>
      <c r="C6">
        <v>5984.1</v>
      </c>
      <c r="D6">
        <v>2641.02</v>
      </c>
      <c r="E6">
        <v>8786</v>
      </c>
      <c r="F6">
        <v>2834.75</v>
      </c>
      <c r="G6">
        <v>905475</v>
      </c>
      <c r="H6">
        <v>375.52</v>
      </c>
      <c r="I6">
        <v>778.72</v>
      </c>
      <c r="J6">
        <v>6813</v>
      </c>
      <c r="K6">
        <v>3099.23</v>
      </c>
      <c r="L6">
        <v>26.22</v>
      </c>
      <c r="M6">
        <v>187920</v>
      </c>
    </row>
    <row r="7" spans="1:13">
      <c r="A7">
        <v>2006</v>
      </c>
      <c r="B7">
        <v>7531.8</v>
      </c>
      <c r="C7">
        <v>6038.3</v>
      </c>
      <c r="D7">
        <v>3135.48</v>
      </c>
      <c r="E7">
        <v>9803</v>
      </c>
      <c r="F7">
        <v>3572.69</v>
      </c>
      <c r="G7">
        <v>1176219</v>
      </c>
      <c r="H7">
        <v>476.08</v>
      </c>
      <c r="I7">
        <v>1047</v>
      </c>
      <c r="J7">
        <v>7546</v>
      </c>
      <c r="K7">
        <v>3601.89</v>
      </c>
      <c r="L7">
        <v>26.53</v>
      </c>
      <c r="M7">
        <v>262591</v>
      </c>
    </row>
    <row r="8" spans="1:13">
      <c r="A8">
        <v>2007</v>
      </c>
      <c r="B8">
        <v>9451.39</v>
      </c>
      <c r="C8">
        <v>6084.9</v>
      </c>
      <c r="D8">
        <v>3991.06</v>
      </c>
      <c r="E8">
        <v>11485</v>
      </c>
      <c r="F8">
        <v>4534.14</v>
      </c>
      <c r="G8">
        <v>1489647</v>
      </c>
      <c r="H8">
        <v>590.36</v>
      </c>
      <c r="I8">
        <v>1274.27</v>
      </c>
      <c r="J8">
        <v>8996</v>
      </c>
      <c r="K8">
        <v>4294.36</v>
      </c>
      <c r="L8">
        <v>27.8</v>
      </c>
      <c r="M8">
        <v>276005</v>
      </c>
    </row>
    <row r="9" spans="1:13">
      <c r="A9">
        <v>2008</v>
      </c>
      <c r="B9">
        <v>11497.46</v>
      </c>
      <c r="C9">
        <v>6110.8</v>
      </c>
      <c r="D9">
        <v>4715.24</v>
      </c>
      <c r="E9">
        <v>13153</v>
      </c>
      <c r="F9">
        <v>5798.56</v>
      </c>
      <c r="G9">
        <v>2070567</v>
      </c>
      <c r="H9">
        <v>710.85</v>
      </c>
      <c r="I9">
        <v>1650.28</v>
      </c>
      <c r="J9">
        <v>12067</v>
      </c>
      <c r="K9">
        <v>5346</v>
      </c>
      <c r="L9">
        <v>28.48</v>
      </c>
      <c r="M9">
        <v>330122</v>
      </c>
    </row>
    <row r="10" spans="1:13">
      <c r="A10">
        <v>2009</v>
      </c>
      <c r="B10">
        <v>13192.14</v>
      </c>
      <c r="C10">
        <v>6141.9</v>
      </c>
      <c r="D10">
        <v>5439.3</v>
      </c>
      <c r="E10">
        <v>14367</v>
      </c>
      <c r="F10">
        <v>8211.85</v>
      </c>
      <c r="G10">
        <v>1725102</v>
      </c>
      <c r="H10">
        <v>814.87</v>
      </c>
      <c r="I10">
        <v>2090.92</v>
      </c>
      <c r="J10">
        <v>14027</v>
      </c>
      <c r="K10">
        <v>6216.2</v>
      </c>
      <c r="L10">
        <v>33.71</v>
      </c>
      <c r="M10">
        <v>336823</v>
      </c>
    </row>
    <row r="11" spans="1:13">
      <c r="A11">
        <v>2010</v>
      </c>
      <c r="B11">
        <v>16226.94</v>
      </c>
      <c r="C11">
        <v>6176</v>
      </c>
      <c r="D11">
        <v>6435.48</v>
      </c>
      <c r="E11">
        <v>16058.4</v>
      </c>
      <c r="F11">
        <v>10802.69</v>
      </c>
      <c r="G11">
        <v>2593211</v>
      </c>
      <c r="H11">
        <v>1011.23</v>
      </c>
      <c r="I11">
        <v>2501.4</v>
      </c>
      <c r="J11">
        <v>16106</v>
      </c>
      <c r="K11">
        <v>7365.72</v>
      </c>
      <c r="L11">
        <v>34.95</v>
      </c>
      <c r="M11">
        <v>331303</v>
      </c>
    </row>
    <row r="12" spans="1:13">
      <c r="A12">
        <v>2011</v>
      </c>
      <c r="B12">
        <v>19942.45</v>
      </c>
      <c r="C12">
        <v>6164.1</v>
      </c>
      <c r="D12">
        <v>7707.12</v>
      </c>
      <c r="E12">
        <v>18373.9</v>
      </c>
      <c r="F12">
        <v>12935.02</v>
      </c>
      <c r="G12">
        <v>3358693</v>
      </c>
      <c r="H12">
        <v>1526.91</v>
      </c>
      <c r="I12">
        <v>3214.74</v>
      </c>
      <c r="J12">
        <v>10633</v>
      </c>
      <c r="K12">
        <v>8792.13</v>
      </c>
      <c r="L12">
        <v>36.52</v>
      </c>
      <c r="M12">
        <v>357818</v>
      </c>
    </row>
    <row r="13" spans="1:13">
      <c r="A13">
        <v>2012</v>
      </c>
      <c r="B13">
        <v>22590.89</v>
      </c>
      <c r="C13">
        <v>6165.4</v>
      </c>
      <c r="D13">
        <v>8763.52</v>
      </c>
      <c r="E13">
        <v>20839.6</v>
      </c>
      <c r="F13">
        <v>16504.17</v>
      </c>
      <c r="G13">
        <v>3196409</v>
      </c>
      <c r="H13">
        <v>1823.05</v>
      </c>
      <c r="I13">
        <v>3759.79</v>
      </c>
      <c r="J13">
        <v>12441</v>
      </c>
      <c r="K13">
        <v>10199.52</v>
      </c>
      <c r="L13">
        <v>38.64</v>
      </c>
      <c r="M13">
        <v>353014</v>
      </c>
    </row>
    <row r="14" spans="1:13">
      <c r="A14">
        <v>2013</v>
      </c>
      <c r="B14">
        <v>25378.01</v>
      </c>
      <c r="C14">
        <v>6170.6</v>
      </c>
      <c r="D14">
        <v>10647.98</v>
      </c>
      <c r="E14">
        <v>22906.4</v>
      </c>
      <c r="F14">
        <v>20753.91</v>
      </c>
      <c r="G14">
        <v>3638928</v>
      </c>
      <c r="H14">
        <v>2191.22</v>
      </c>
      <c r="I14">
        <v>4371.65</v>
      </c>
      <c r="J14">
        <v>14650</v>
      </c>
      <c r="K14">
        <v>11649.55</v>
      </c>
      <c r="L14">
        <v>41.12</v>
      </c>
      <c r="M14">
        <v>361572</v>
      </c>
    </row>
    <row r="15" spans="1:13">
      <c r="A15">
        <v>2014</v>
      </c>
      <c r="B15">
        <v>28242.13</v>
      </c>
      <c r="C15">
        <v>6162.3</v>
      </c>
      <c r="D15">
        <v>12232.63</v>
      </c>
      <c r="E15">
        <v>24852.3</v>
      </c>
      <c r="F15">
        <v>25001.77</v>
      </c>
      <c r="G15">
        <v>4306401</v>
      </c>
      <c r="H15">
        <v>2566.9</v>
      </c>
      <c r="I15">
        <v>4934.15</v>
      </c>
      <c r="J15">
        <v>15957</v>
      </c>
      <c r="K15">
        <v>13164.47</v>
      </c>
      <c r="L15">
        <v>43.82</v>
      </c>
      <c r="M15">
        <v>390921</v>
      </c>
    </row>
    <row r="16" spans="1:13">
      <c r="A16">
        <v>2015</v>
      </c>
      <c r="B16">
        <v>30344</v>
      </c>
      <c r="C16">
        <v>6138.9</v>
      </c>
      <c r="D16">
        <v>13664.58</v>
      </c>
      <c r="E16">
        <v>27051.5</v>
      </c>
      <c r="F16">
        <v>29191.06</v>
      </c>
      <c r="G16">
        <v>4560531</v>
      </c>
      <c r="H16">
        <v>3005.53</v>
      </c>
      <c r="I16">
        <v>6132.84</v>
      </c>
      <c r="J16">
        <v>16413</v>
      </c>
      <c r="K16">
        <v>14847.88</v>
      </c>
      <c r="L16">
        <v>47.55</v>
      </c>
      <c r="M16">
        <v>389206</v>
      </c>
    </row>
    <row r="17" spans="1:13">
      <c r="A17">
        <v>2016</v>
      </c>
      <c r="B17">
        <v>33353</v>
      </c>
      <c r="C17">
        <v>6156.8</v>
      </c>
      <c r="D17">
        <v>15419.53</v>
      </c>
      <c r="E17">
        <v>29385.8</v>
      </c>
      <c r="F17">
        <v>29503.88</v>
      </c>
      <c r="G17">
        <v>3939760</v>
      </c>
      <c r="H17">
        <v>3102.06</v>
      </c>
      <c r="I17">
        <v>6422.98</v>
      </c>
      <c r="J17">
        <v>16296</v>
      </c>
      <c r="K17">
        <v>16601.88</v>
      </c>
      <c r="L17">
        <v>49.54</v>
      </c>
      <c r="M17">
        <v>394158</v>
      </c>
    </row>
    <row r="18" spans="1:13">
      <c r="A18">
        <v>2017</v>
      </c>
      <c r="B18">
        <v>37235</v>
      </c>
      <c r="C18">
        <v>6141.8</v>
      </c>
      <c r="D18">
        <v>17992.18</v>
      </c>
      <c r="E18">
        <v>31889.4</v>
      </c>
      <c r="F18">
        <v>31872.57</v>
      </c>
      <c r="G18">
        <v>4630863</v>
      </c>
      <c r="H18">
        <v>3248.44</v>
      </c>
      <c r="I18">
        <v>6831.74</v>
      </c>
      <c r="J18">
        <v>15097</v>
      </c>
      <c r="K18">
        <v>18519.65</v>
      </c>
      <c r="L18">
        <v>51.04</v>
      </c>
      <c r="M18">
        <v>394897</v>
      </c>
    </row>
    <row r="19" spans="1:13">
      <c r="A19">
        <v>2018</v>
      </c>
      <c r="B19">
        <v>42021.95</v>
      </c>
      <c r="C19">
        <v>6172.9</v>
      </c>
      <c r="D19">
        <v>20899.91</v>
      </c>
      <c r="E19">
        <v>34454.6</v>
      </c>
      <c r="F19">
        <v>35378.55</v>
      </c>
      <c r="G19">
        <v>5280245</v>
      </c>
      <c r="H19">
        <v>3307.08</v>
      </c>
      <c r="I19">
        <v>7258.27</v>
      </c>
      <c r="J19">
        <v>15222</v>
      </c>
      <c r="K19">
        <v>20598.16</v>
      </c>
      <c r="L19">
        <v>52.18</v>
      </c>
      <c r="M19">
        <v>375447</v>
      </c>
    </row>
    <row r="20" spans="1:13">
      <c r="A20">
        <v>2019</v>
      </c>
      <c r="B20">
        <v>45428.96</v>
      </c>
      <c r="C20">
        <v>6177.8</v>
      </c>
      <c r="D20">
        <v>22896.5</v>
      </c>
      <c r="E20">
        <v>37601.4</v>
      </c>
      <c r="F20">
        <v>39128.68</v>
      </c>
      <c r="G20">
        <v>5712847</v>
      </c>
      <c r="H20">
        <v>3388.57</v>
      </c>
      <c r="I20">
        <v>7970.21</v>
      </c>
      <c r="J20">
        <v>15520</v>
      </c>
      <c r="K20">
        <v>22722.31</v>
      </c>
      <c r="L20">
        <v>52.98</v>
      </c>
      <c r="M20">
        <v>383673</v>
      </c>
    </row>
    <row r="21" spans="1:13">
      <c r="A21">
        <v>2020</v>
      </c>
      <c r="B21">
        <v>43004.49</v>
      </c>
      <c r="C21">
        <v>6160.1</v>
      </c>
      <c r="D21">
        <v>22937.55</v>
      </c>
      <c r="E21">
        <v>36705.7</v>
      </c>
      <c r="F21">
        <v>31772.49</v>
      </c>
      <c r="G21">
        <v>6208343</v>
      </c>
      <c r="H21">
        <v>2511.54</v>
      </c>
      <c r="I21">
        <v>8442.88</v>
      </c>
      <c r="J21">
        <v>15708</v>
      </c>
      <c r="K21">
        <v>17984.87</v>
      </c>
      <c r="L21">
        <v>53.87</v>
      </c>
      <c r="M21">
        <v>401779</v>
      </c>
    </row>
    <row r="22" spans="1:13">
      <c r="A22">
        <v>2021</v>
      </c>
      <c r="B22">
        <v>50012.94</v>
      </c>
      <c r="C22">
        <v>6142.8</v>
      </c>
      <c r="D22">
        <v>26398.37</v>
      </c>
      <c r="E22">
        <v>40277.8</v>
      </c>
      <c r="F22">
        <v>38254.08</v>
      </c>
      <c r="G22">
        <v>8314352</v>
      </c>
      <c r="H22">
        <v>3283.3</v>
      </c>
      <c r="I22">
        <v>7937.28</v>
      </c>
      <c r="J22">
        <v>16792</v>
      </c>
      <c r="K22">
        <v>21561.37</v>
      </c>
      <c r="L22">
        <v>56.42</v>
      </c>
      <c r="M22">
        <v>415535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微雪雾冷</cp:lastModifiedBy>
  <dcterms:created xsi:type="dcterms:W3CDTF">2015-06-05T18:19:00Z</dcterms:created>
  <dcterms:modified xsi:type="dcterms:W3CDTF">2026-07-06T08:40:21Z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EA5864EF31FC480796B58BD17C774E97_12</vt:lpwstr>
  </property>
  <property fmtid="{D5CDD505-2E9C-101B-9397-08002B2CF9AE}" pid="4" name="CalculationRule">
    <vt:i4>0</vt:i4>
  </property>
</Properties>
</file>